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feff\Desktop\63778 Seminar Rechnerarchitektur\Forschungen\06_Auswertung Oszilloskop\"/>
    </mc:Choice>
  </mc:AlternateContent>
  <xr:revisionPtr revIDLastSave="0" documentId="13_ncr:1_{559E1603-3214-4A9C-930C-53B3BD150B5C}" xr6:coauthVersionLast="47" xr6:coauthVersionMax="47" xr10:uidLastSave="{00000000-0000-0000-0000-000000000000}"/>
  <bookViews>
    <workbookView xWindow="3336" yWindow="1740" windowWidth="17280" windowHeight="115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G8" i="1"/>
  <c r="G2" i="1"/>
  <c r="G3" i="1"/>
  <c r="G5" i="1"/>
  <c r="G6" i="1"/>
  <c r="G7" i="1"/>
  <c r="D2" i="1"/>
  <c r="E2" i="1" s="1"/>
  <c r="D3" i="1"/>
  <c r="E3" i="1" s="1"/>
  <c r="D5" i="1"/>
  <c r="E5" i="1" s="1"/>
  <c r="D6" i="1"/>
  <c r="E6" i="1" s="1"/>
  <c r="D7" i="1"/>
  <c r="E7" i="1" s="1"/>
  <c r="D4" i="1"/>
  <c r="E4" i="1" s="1"/>
</calcChain>
</file>

<file path=xl/sharedStrings.xml><?xml version="1.0" encoding="utf-8"?>
<sst xmlns="http://schemas.openxmlformats.org/spreadsheetml/2006/main" count="16" uniqueCount="16">
  <si>
    <t>emlearn</t>
  </si>
  <si>
    <t>m2cgen</t>
  </si>
  <si>
    <t>Adaptiv Batch 1</t>
  </si>
  <si>
    <t>Adaptiv Batch 2</t>
  </si>
  <si>
    <t>Adaptiv Batch 4</t>
  </si>
  <si>
    <t>Adaptiv Batch 8</t>
  </si>
  <si>
    <t>Zeit [ms]</t>
  </si>
  <si>
    <t>Strom [mA]</t>
  </si>
  <si>
    <t>Genauigkeit [%]</t>
  </si>
  <si>
    <t>Leistung [mW]</t>
  </si>
  <si>
    <t>Arbeit [mJ]</t>
  </si>
  <si>
    <t>Speedup</t>
  </si>
  <si>
    <t>Referenz (Paper)</t>
  </si>
  <si>
    <t>Inferenz</t>
  </si>
  <si>
    <t>Flash Verbrauch [Byte]</t>
  </si>
  <si>
    <t>SRAM Verbrauch [Byte]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</si>
</sst>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2" borderId="0" xfId="0" applyFill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m2cgen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016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Sheet1!$E$2</c:f>
              <c:numCache>
                <c:formatCode>0.0</c:formatCode>
                <c:ptCount val="1"/>
                <c:pt idx="0">
                  <c:v>238.9725</c:v>
                </c:pt>
              </c:numCache>
            </c:numRef>
          </c:xVal>
          <c:yVal>
            <c:numRef>
              <c:f>Sheet1!$F$2</c:f>
              <c:numCache>
                <c:formatCode>0.0</c:formatCode>
                <c:ptCount val="1"/>
                <c:pt idx="0">
                  <c:v>96.3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8-4B44-9C45-79EE8982D98D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emlearn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01600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Sheet1!$E$3</c:f>
              <c:numCache>
                <c:formatCode>0.0</c:formatCode>
                <c:ptCount val="1"/>
                <c:pt idx="0">
                  <c:v>59.383499999999998</c:v>
                </c:pt>
              </c:numCache>
            </c:numRef>
          </c:xVal>
          <c:yVal>
            <c:numRef>
              <c:f>Sheet1!$F$3</c:f>
              <c:numCache>
                <c:formatCode>0.0</c:formatCode>
                <c:ptCount val="1"/>
                <c:pt idx="0">
                  <c:v>96.5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88-4B44-9C45-79EE8982D98D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Referenz (Paper)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101600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Sheet1!$E$4</c:f>
              <c:numCache>
                <c:formatCode>0.0</c:formatCode>
                <c:ptCount val="1"/>
                <c:pt idx="0">
                  <c:v>54.311999999999998</c:v>
                </c:pt>
              </c:numCache>
            </c:numRef>
          </c:xVal>
          <c:yVal>
            <c:numRef>
              <c:f>Sheet1!$F$4</c:f>
              <c:numCache>
                <c:formatCode>0.0</c:formatCode>
                <c:ptCount val="1"/>
                <c:pt idx="0">
                  <c:v>96.5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88-4B44-9C45-79EE8982D98D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Adaptiv Batch 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01600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Sheet1!$E$5</c:f>
              <c:numCache>
                <c:formatCode>0.0</c:formatCode>
                <c:ptCount val="1"/>
                <c:pt idx="0">
                  <c:v>5.7919999999999998</c:v>
                </c:pt>
              </c:numCache>
            </c:numRef>
          </c:xVal>
          <c:yVal>
            <c:numRef>
              <c:f>Sheet1!$F$5</c:f>
              <c:numCache>
                <c:formatCode>0.0</c:formatCode>
                <c:ptCount val="1"/>
                <c:pt idx="0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88-4B44-9C45-79EE8982D98D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Adaptiv Batch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101600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Sheet1!$E$6</c:f>
              <c:numCache>
                <c:formatCode>0.0</c:formatCode>
                <c:ptCount val="1"/>
                <c:pt idx="0">
                  <c:v>2.8984999999999999</c:v>
                </c:pt>
              </c:numCache>
            </c:numRef>
          </c:xVal>
          <c:yVal>
            <c:numRef>
              <c:f>Sheet1!$F$6</c:f>
              <c:numCache>
                <c:formatCode>0.0</c:formatCode>
                <c:ptCount val="1"/>
                <c:pt idx="0">
                  <c:v>95.6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88-4B44-9C45-79EE8982D98D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Adaptiv Batch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01600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Sheet1!$E$7</c:f>
              <c:numCache>
                <c:formatCode>0.0</c:formatCode>
                <c:ptCount val="1"/>
                <c:pt idx="0">
                  <c:v>1.3140000000000001</c:v>
                </c:pt>
              </c:numCache>
            </c:numRef>
          </c:xVal>
          <c:yVal>
            <c:numRef>
              <c:f>Sheet1!$F$7</c:f>
              <c:numCache>
                <c:formatCode>0.0</c:formatCode>
                <c:ptCount val="1"/>
                <c:pt idx="0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988-4B44-9C45-79EE8982D98D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Adaptiv Batch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10160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Sheet1!$E$8</c:f>
              <c:numCache>
                <c:formatCode>0.0</c:formatCode>
                <c:ptCount val="1"/>
                <c:pt idx="0">
                  <c:v>1.17</c:v>
                </c:pt>
              </c:numCache>
            </c:numRef>
          </c:xVal>
          <c:yVal>
            <c:numRef>
              <c:f>Sheet1!$F$8</c:f>
              <c:numCache>
                <c:formatCode>0.0</c:formatCode>
                <c:ptCount val="1"/>
                <c:pt idx="0">
                  <c:v>94.7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988-4B44-9C45-79EE8982D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875872"/>
        <c:axId val="833880192"/>
      </c:scatterChart>
      <c:valAx>
        <c:axId val="833875872"/>
        <c:scaling>
          <c:orientation val="minMax"/>
          <c:max val="2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aseline="0"/>
                  <a:t>Arbeit [mJ]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3880192"/>
        <c:crosses val="autoZero"/>
        <c:crossBetween val="midCat"/>
      </c:valAx>
      <c:valAx>
        <c:axId val="833880192"/>
        <c:scaling>
          <c:orientation val="minMax"/>
          <c:max val="97"/>
          <c:min val="9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aseline="0"/>
                  <a:t>Genauigkeit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3875872"/>
        <c:crossesAt val="0"/>
        <c:crossBetween val="midCat"/>
        <c:majorUnit val="0.5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m2cgen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016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Sheet1!$G$2</c:f>
              <c:numCache>
                <c:formatCode>0.0</c:formatCode>
                <c:ptCount val="1"/>
                <c:pt idx="0">
                  <c:v>0.30180878552971574</c:v>
                </c:pt>
              </c:numCache>
            </c:numRef>
          </c:xVal>
          <c:yVal>
            <c:numRef>
              <c:f>Sheet1!$F$2</c:f>
              <c:numCache>
                <c:formatCode>0.0</c:formatCode>
                <c:ptCount val="1"/>
                <c:pt idx="0">
                  <c:v>96.3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6F-4501-BD3D-56E375C6484F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emlearn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01600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Sheet1!$G$3</c:f>
              <c:numCache>
                <c:formatCode>0.0</c:formatCode>
                <c:ptCount val="1"/>
                <c:pt idx="0">
                  <c:v>0.89984591679506931</c:v>
                </c:pt>
              </c:numCache>
            </c:numRef>
          </c:xVal>
          <c:yVal>
            <c:numRef>
              <c:f>Sheet1!$F$3</c:f>
              <c:numCache>
                <c:formatCode>0.0</c:formatCode>
                <c:ptCount val="1"/>
                <c:pt idx="0">
                  <c:v>96.5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6F-4501-BD3D-56E375C6484F}"/>
            </c:ext>
          </c:extLst>
        </c:ser>
        <c:ser>
          <c:idx val="3"/>
          <c:order val="2"/>
          <c:tx>
            <c:strRef>
              <c:f>Sheet1!$A$5</c:f>
              <c:strCache>
                <c:ptCount val="1"/>
                <c:pt idx="0">
                  <c:v>Adaptiv Batch 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101600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Sheet1!$G$5</c:f>
              <c:numCache>
                <c:formatCode>0.0</c:formatCode>
                <c:ptCount val="1"/>
                <c:pt idx="0">
                  <c:v>9.125</c:v>
                </c:pt>
              </c:numCache>
            </c:numRef>
          </c:xVal>
          <c:yVal>
            <c:numRef>
              <c:f>Sheet1!$F$5</c:f>
              <c:numCache>
                <c:formatCode>0.0</c:formatCode>
                <c:ptCount val="1"/>
                <c:pt idx="0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6F-4501-BD3D-56E375C6484F}"/>
            </c:ext>
          </c:extLst>
        </c:ser>
        <c:ser>
          <c:idx val="4"/>
          <c:order val="3"/>
          <c:tx>
            <c:strRef>
              <c:f>Sheet1!$A$6</c:f>
              <c:strCache>
                <c:ptCount val="1"/>
                <c:pt idx="0">
                  <c:v>Adaptiv Batch 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101600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Sheet1!$G$6</c:f>
              <c:numCache>
                <c:formatCode>0.0</c:formatCode>
                <c:ptCount val="1"/>
                <c:pt idx="0">
                  <c:v>18.838709677419356</c:v>
                </c:pt>
              </c:numCache>
            </c:numRef>
          </c:xVal>
          <c:yVal>
            <c:numRef>
              <c:f>Sheet1!$F$6</c:f>
              <c:numCache>
                <c:formatCode>0.0</c:formatCode>
                <c:ptCount val="1"/>
                <c:pt idx="0">
                  <c:v>95.6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6F-4501-BD3D-56E375C6484F}"/>
            </c:ext>
          </c:extLst>
        </c:ser>
        <c:ser>
          <c:idx val="5"/>
          <c:order val="4"/>
          <c:tx>
            <c:strRef>
              <c:f>Sheet1!$A$7</c:f>
              <c:strCache>
                <c:ptCount val="1"/>
                <c:pt idx="0">
                  <c:v>Adaptiv Batch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01600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Sheet1!$G$7</c:f>
              <c:numCache>
                <c:formatCode>0.0</c:formatCode>
                <c:ptCount val="1"/>
                <c:pt idx="0">
                  <c:v>32.444444444444443</c:v>
                </c:pt>
              </c:numCache>
            </c:numRef>
          </c:xVal>
          <c:yVal>
            <c:numRef>
              <c:f>Sheet1!$F$7</c:f>
              <c:numCache>
                <c:formatCode>0.0</c:formatCode>
                <c:ptCount val="1"/>
                <c:pt idx="0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6F-4501-BD3D-56E375C6484F}"/>
            </c:ext>
          </c:extLst>
        </c:ser>
        <c:ser>
          <c:idx val="6"/>
          <c:order val="5"/>
          <c:tx>
            <c:strRef>
              <c:f>Sheet1!$A$8</c:f>
              <c:strCache>
                <c:ptCount val="1"/>
                <c:pt idx="0">
                  <c:v>Adaptiv Batch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101600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Sheet1!$G$8</c:f>
              <c:numCache>
                <c:formatCode>0.0</c:formatCode>
                <c:ptCount val="1"/>
                <c:pt idx="0">
                  <c:v>38.93333333333333</c:v>
                </c:pt>
              </c:numCache>
            </c:numRef>
          </c:xVal>
          <c:yVal>
            <c:numRef>
              <c:f>Sheet1!$F$8</c:f>
              <c:numCache>
                <c:formatCode>0.0</c:formatCode>
                <c:ptCount val="1"/>
                <c:pt idx="0">
                  <c:v>94.7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6F-4501-BD3D-56E375C64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875872"/>
        <c:axId val="833880192"/>
      </c:scatterChart>
      <c:valAx>
        <c:axId val="833875872"/>
        <c:scaling>
          <c:orientation val="minMax"/>
          <c:max val="3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aseline="0"/>
                  <a:t>Speedup relativ zu Referenz (Paper)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3880192"/>
        <c:crosses val="autoZero"/>
        <c:crossBetween val="midCat"/>
      </c:valAx>
      <c:valAx>
        <c:axId val="833880192"/>
        <c:scaling>
          <c:orientation val="minMax"/>
          <c:max val="97"/>
          <c:min val="9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200" baseline="0"/>
                  <a:t>Genauigkeit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33875872"/>
        <c:crosses val="autoZero"/>
        <c:crossBetween val="midCat"/>
        <c:majorUnit val="0.5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179070</xdr:rowOff>
    </xdr:from>
    <xdr:to>
      <xdr:col>7</xdr:col>
      <xdr:colOff>518160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AE83EB-5133-545B-7ADC-18DCE304A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281940</xdr:colOff>
      <xdr:row>8</xdr:row>
      <xdr:rowOff>0</xdr:rowOff>
    </xdr:from>
    <xdr:to>
      <xdr:col>14</xdr:col>
      <xdr:colOff>335280</xdr:colOff>
      <xdr:row>21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EB025C-FC50-45FB-BEEF-E8062CA34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H8" sqref="H8"/>
    </sheetView>
  </sheetViews>
  <sheetFormatPr defaultRowHeight="14.4" x14ac:dyDescent="0.3"/>
  <cols>
    <col min="1" max="1" width="14.5546875" bestFit="1" customWidth="1"/>
    <col min="2" max="2" width="8.109375" bestFit="1" customWidth="1"/>
    <col min="3" max="3" width="10.33203125" bestFit="1" customWidth="1"/>
    <col min="4" max="4" width="12.77734375" bestFit="1" customWidth="1"/>
    <col min="5" max="5" width="9.88671875" bestFit="1" customWidth="1"/>
    <col min="6" max="6" width="13.88671875" bestFit="1" customWidth="1"/>
    <col min="7" max="7" width="7.88671875" bestFit="1" customWidth="1"/>
    <col min="8" max="8" width="19.5546875" bestFit="1" customWidth="1"/>
    <col min="9" max="9" width="20.21875" bestFit="1" customWidth="1"/>
  </cols>
  <sheetData>
    <row r="1" spans="1:9" x14ac:dyDescent="0.3">
      <c r="A1" s="10" t="s">
        <v>13</v>
      </c>
      <c r="B1" s="11" t="s">
        <v>6</v>
      </c>
      <c r="C1" s="12" t="s">
        <v>7</v>
      </c>
      <c r="D1" s="12" t="s">
        <v>9</v>
      </c>
      <c r="E1" s="12" t="s">
        <v>10</v>
      </c>
      <c r="F1" s="12" t="s">
        <v>8</v>
      </c>
      <c r="G1" s="13" t="s">
        <v>11</v>
      </c>
      <c r="H1" s="13" t="s">
        <v>14</v>
      </c>
      <c r="I1" s="13" t="s">
        <v>15</v>
      </c>
    </row>
    <row r="2" spans="1:9" ht="15" thickBot="1" x14ac:dyDescent="0.35">
      <c r="A2" t="s">
        <v>1</v>
      </c>
      <c r="B2" s="1">
        <v>1935</v>
      </c>
      <c r="C2" s="2">
        <v>24.7</v>
      </c>
      <c r="D2" s="2">
        <f t="shared" ref="D2:D8" si="0">5*C2</f>
        <v>123.5</v>
      </c>
      <c r="E2" s="2">
        <f t="shared" ref="E2:E8" si="1">D2*B2/1000</f>
        <v>238.9725</v>
      </c>
      <c r="F2" s="2">
        <v>96.3</v>
      </c>
      <c r="G2" s="3">
        <f>B4/B2</f>
        <v>0.30180878552971574</v>
      </c>
      <c r="H2" s="14">
        <v>281944</v>
      </c>
      <c r="I2" s="15">
        <v>25788</v>
      </c>
    </row>
    <row r="3" spans="1:9" ht="15" thickBot="1" x14ac:dyDescent="0.35">
      <c r="A3" t="s">
        <v>0</v>
      </c>
      <c r="B3" s="4">
        <v>649</v>
      </c>
      <c r="C3" s="5">
        <v>18.3</v>
      </c>
      <c r="D3" s="5">
        <f t="shared" si="0"/>
        <v>91.5</v>
      </c>
      <c r="E3" s="5">
        <f t="shared" si="1"/>
        <v>59.383499999999998</v>
      </c>
      <c r="F3" s="5">
        <v>96.5</v>
      </c>
      <c r="G3" s="6">
        <f>B4/B3</f>
        <v>0.89984591679506931</v>
      </c>
      <c r="H3" s="16">
        <v>120800</v>
      </c>
      <c r="I3" s="17">
        <v>25724</v>
      </c>
    </row>
    <row r="4" spans="1:9" ht="15" thickBot="1" x14ac:dyDescent="0.35">
      <c r="A4" t="s">
        <v>12</v>
      </c>
      <c r="B4" s="4">
        <v>584</v>
      </c>
      <c r="C4" s="5">
        <v>18.600000000000001</v>
      </c>
      <c r="D4" s="5">
        <f t="shared" si="0"/>
        <v>93</v>
      </c>
      <c r="E4" s="5">
        <f t="shared" si="1"/>
        <v>54.311999999999998</v>
      </c>
      <c r="F4" s="5">
        <v>96.5</v>
      </c>
      <c r="G4" s="6">
        <v>1</v>
      </c>
      <c r="H4" s="16">
        <v>147848</v>
      </c>
      <c r="I4" s="17">
        <v>25724</v>
      </c>
    </row>
    <row r="5" spans="1:9" ht="15" thickBot="1" x14ac:dyDescent="0.35">
      <c r="A5" t="s">
        <v>5</v>
      </c>
      <c r="B5" s="4">
        <v>64</v>
      </c>
      <c r="C5" s="5">
        <v>18.100000000000001</v>
      </c>
      <c r="D5" s="5">
        <f t="shared" si="0"/>
        <v>90.5</v>
      </c>
      <c r="E5" s="5">
        <f t="shared" si="1"/>
        <v>5.7919999999999998</v>
      </c>
      <c r="F5" s="5">
        <v>96</v>
      </c>
      <c r="G5" s="6">
        <f>B4/B5</f>
        <v>9.125</v>
      </c>
      <c r="H5" s="16">
        <v>384108</v>
      </c>
      <c r="I5" s="17">
        <v>25740</v>
      </c>
    </row>
    <row r="6" spans="1:9" ht="15" thickBot="1" x14ac:dyDescent="0.35">
      <c r="A6" t="s">
        <v>4</v>
      </c>
      <c r="B6" s="4">
        <v>31</v>
      </c>
      <c r="C6" s="5">
        <v>18.7</v>
      </c>
      <c r="D6" s="5">
        <f t="shared" si="0"/>
        <v>93.5</v>
      </c>
      <c r="E6" s="5">
        <f t="shared" si="1"/>
        <v>2.8984999999999999</v>
      </c>
      <c r="F6" s="5">
        <v>95.6</v>
      </c>
      <c r="G6" s="6">
        <f>B4/B6</f>
        <v>18.838709677419356</v>
      </c>
      <c r="H6" s="16">
        <v>384188</v>
      </c>
      <c r="I6" s="17">
        <v>25740</v>
      </c>
    </row>
    <row r="7" spans="1:9" ht="15" thickBot="1" x14ac:dyDescent="0.35">
      <c r="A7" t="s">
        <v>3</v>
      </c>
      <c r="B7" s="4">
        <v>18</v>
      </c>
      <c r="C7" s="5">
        <v>14.6</v>
      </c>
      <c r="D7" s="5">
        <f t="shared" si="0"/>
        <v>73</v>
      </c>
      <c r="E7" s="5">
        <f t="shared" si="1"/>
        <v>1.3140000000000001</v>
      </c>
      <c r="F7" s="5">
        <v>95</v>
      </c>
      <c r="G7" s="6">
        <f>B4/B7</f>
        <v>32.444444444444443</v>
      </c>
      <c r="H7" s="16">
        <v>385372</v>
      </c>
      <c r="I7" s="17">
        <v>25740</v>
      </c>
    </row>
    <row r="8" spans="1:9" x14ac:dyDescent="0.3">
      <c r="A8" t="s">
        <v>2</v>
      </c>
      <c r="B8" s="7">
        <v>15</v>
      </c>
      <c r="C8" s="8">
        <v>15.6</v>
      </c>
      <c r="D8" s="8">
        <f t="shared" si="0"/>
        <v>78</v>
      </c>
      <c r="E8" s="8">
        <f t="shared" si="1"/>
        <v>1.17</v>
      </c>
      <c r="F8" s="8">
        <v>94.7</v>
      </c>
      <c r="G8" s="9">
        <f>B4/B8</f>
        <v>38.93333333333333</v>
      </c>
      <c r="H8" s="18">
        <v>374820</v>
      </c>
      <c r="I8" s="19">
        <v>25740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Adams</dc:creator>
  <cp:lastModifiedBy>Christian Adams</cp:lastModifiedBy>
  <dcterms:created xsi:type="dcterms:W3CDTF">2015-06-05T18:17:20Z</dcterms:created>
  <dcterms:modified xsi:type="dcterms:W3CDTF">2026-01-06T21:57:05Z</dcterms:modified>
</cp:coreProperties>
</file>